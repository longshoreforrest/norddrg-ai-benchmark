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piopitkaranta/Documents/GitHub/norddrg-benchmark/NordDRG_AI_Benchmark/"/>
    </mc:Choice>
  </mc:AlternateContent>
  <xr:revisionPtr revIDLastSave="0" documentId="13_ncr:1_{6982A06D-4648-4847-BBCE-3E7C9F782772}" xr6:coauthVersionLast="47" xr6:coauthVersionMax="47" xr10:uidLastSave="{00000000-0000-0000-0000-000000000000}"/>
  <bookViews>
    <workbookView xWindow="41960" yWindow="4240" windowWidth="34560" windowHeight="20640" xr2:uid="{7A766BD2-6E10-8440-ADD3-580E168165A6}"/>
  </bookViews>
  <sheets>
    <sheet name="NordDRG-LLM-Benchmark 20250820" sheetId="4" r:id="rId1"/>
    <sheet name="Questions" sheetId="8" r:id="rId2"/>
    <sheet name="Answer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8" l="1"/>
  <c r="C29" i="8"/>
  <c r="C28" i="8"/>
  <c r="C27" i="8"/>
  <c r="C26" i="8"/>
  <c r="C25" i="8"/>
  <c r="C24" i="8"/>
  <c r="C23" i="8"/>
  <c r="C22" i="8"/>
  <c r="C21" i="8"/>
  <c r="C20" i="8"/>
  <c r="C19" i="8"/>
  <c r="C18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C30" i="7"/>
  <c r="C29" i="7"/>
  <c r="C28" i="7"/>
  <c r="C27" i="7"/>
  <c r="C26" i="7"/>
  <c r="C25" i="7"/>
  <c r="C24" i="7"/>
  <c r="B24" i="7"/>
  <c r="B25" i="7"/>
  <c r="B26" i="7"/>
  <c r="B27" i="7"/>
  <c r="B28" i="7"/>
  <c r="B29" i="7"/>
  <c r="B30" i="7"/>
  <c r="C23" i="7"/>
  <c r="C22" i="7"/>
  <c r="C21" i="7"/>
  <c r="C20" i="7"/>
  <c r="C19" i="7"/>
  <c r="C18" i="7"/>
  <c r="B23" i="7"/>
  <c r="B22" i="7"/>
  <c r="B21" i="7"/>
  <c r="B20" i="7"/>
  <c r="B19" i="7"/>
  <c r="B18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E40" i="4"/>
  <c r="C17" i="7" s="1"/>
  <c r="D40" i="4"/>
  <c r="C40" i="4"/>
  <c r="B40" i="4"/>
  <c r="A40" i="4"/>
  <c r="B17" i="7" s="1"/>
  <c r="D15" i="4"/>
  <c r="B15" i="4"/>
  <c r="D14" i="4"/>
  <c r="B14" i="4"/>
  <c r="B13" i="4"/>
  <c r="D12" i="4"/>
  <c r="B12" i="4"/>
  <c r="D11" i="4"/>
</calcChain>
</file>

<file path=xl/sharedStrings.xml><?xml version="1.0" encoding="utf-8"?>
<sst xmlns="http://schemas.openxmlformats.org/spreadsheetml/2006/main" count="181" uniqueCount="127">
  <si>
    <t>Understanding NordDRG Definition Tables</t>
  </si>
  <si>
    <t>Use Case Category</t>
  </si>
  <si>
    <t>Which diagnosis categories and properties are listed in drg_logic for DRG group 372C?</t>
  </si>
  <si>
    <t>Difficulty</t>
  </si>
  <si>
    <t>Easy</t>
  </si>
  <si>
    <t>Medium</t>
  </si>
  <si>
    <t>Medical Terms in Local Minority Language</t>
  </si>
  <si>
    <t>Connection between Definition Tables</t>
  </si>
  <si>
    <t>CaseMix Question</t>
  </si>
  <si>
    <t>Right answer</t>
  </si>
  <si>
    <t>166N,167X,167O</t>
  </si>
  <si>
    <t>166C, 166N,167N,167X,167O</t>
  </si>
  <si>
    <t>Comment</t>
  </si>
  <si>
    <t>Code: drg_comb</t>
  </si>
  <si>
    <t>370B, 370C, 370M, 370X, 371O, 371X, 372B, 372C, 372M, 372X, 373O, 373X, 374X, 375X, P05S, P05T</t>
  </si>
  <si>
    <t>14X03, 14X11, 14X13, 00X10</t>
  </si>
  <si>
    <t>Surgical Procedure Logic</t>
  </si>
  <si>
    <t>JESA00, JESA01, JESA10, JESW96, JESW97</t>
  </si>
  <si>
    <t>List of 49 codes starting with O6010 and ending with Z3790</t>
  </si>
  <si>
    <t>C1810,K3520</t>
  </si>
  <si>
    <t>O6010, O6020, O6030, O6230, O6300, O6310, O6320, O6390, O6800, O6810, O6820, O6830, O6880, O6890, O7100, O7110, O7550, O7570, O8000, O8010, O8080, O8090, O8100, O8110, O8120, O8130, O8140, O8150, O8300, O8310, O8320, O8330, O8340, O8380, O8390, O8400, O8410, O8420, O8480, O8490, Z3700, Z3710, Z3720, Z3730, Z3740, Z3750, Z3760, Z3770, Z3790</t>
  </si>
  <si>
    <t>ID</t>
  </si>
  <si>
    <t>Code: NCSP+</t>
  </si>
  <si>
    <t>Code: ICD+</t>
  </si>
  <si>
    <t>Combined2024PL</t>
  </si>
  <si>
    <t>Dataset</t>
  </si>
  <si>
    <t>Format</t>
  </si>
  <si>
    <t>Description</t>
  </si>
  <si>
    <t>Definition Tables</t>
  </si>
  <si>
    <t>XLSX</t>
  </si>
  <si>
    <t>NordDRG Definition Tables</t>
  </si>
  <si>
    <t>PDF Instructions</t>
  </si>
  <si>
    <t>PDF</t>
  </si>
  <si>
    <t>NordDRG PDF Instructions</t>
  </si>
  <si>
    <t>Definition Tables: Part of the tables FI</t>
  </si>
  <si>
    <t>NordDRG Definition Tables: Finnish DRG List with Finnish Descriptions only</t>
  </si>
  <si>
    <t>Definition Tables: Part of the tables FI-EN</t>
  </si>
  <si>
    <t>NordDRG Definition Tables: Finnish DRG List with Finnish and English descriptions of groups</t>
  </si>
  <si>
    <t>Dataset configurations</t>
  </si>
  <si>
    <t>Type</t>
  </si>
  <si>
    <t>Tables</t>
  </si>
  <si>
    <t>Tables+Instructions</t>
  </si>
  <si>
    <t>Definition tables and PDF descriptions</t>
  </si>
  <si>
    <t>PortionOfTables</t>
  </si>
  <si>
    <t>For DRG 166N which procedure codes have the connection through the procedure property? Use NCSP plus codes in your answer</t>
  </si>
  <si>
    <t>Diagnosis Properties</t>
  </si>
  <si>
    <t>Hard</t>
  </si>
  <si>
    <t>Questions</t>
  </si>
  <si>
    <t>NordDRG Questions and Right answers</t>
  </si>
  <si>
    <r>
      <t>Which diagnosis codes are linked to DRG 166N through diagnos</t>
    </r>
    <r>
      <rPr>
        <sz val="12"/>
        <color theme="1"/>
        <rFont val="Aptos Narrow"/>
        <family val="2"/>
        <scheme val="minor"/>
      </rPr>
      <t>is properties in All DRG versions from all countries?</t>
    </r>
  </si>
  <si>
    <r>
      <t>Which diagnosis (ICD) codes are connected to diagnos</t>
    </r>
    <r>
      <rPr>
        <sz val="12"/>
        <color theme="1"/>
        <rFont val="Aptos Narrow"/>
        <family val="2"/>
        <scheme val="minor"/>
      </rPr>
      <t>is property 14X03?</t>
    </r>
  </si>
  <si>
    <t>Question</t>
  </si>
  <si>
    <t>Initial prompt for the LLM</t>
  </si>
  <si>
    <t>Could you list all DRG groups in all NordDRG national version where the main treatment during the hospital visit was related to appendectomy? Please provide a list of drg_comb codes without duplicates.</t>
  </si>
  <si>
    <t>Could you list all DRG groups in the Finnish DRG version where the main treatment during the hospital visit was related to appendectomy? Please provide a list of drg_comb codes without duplicates.</t>
  </si>
  <si>
    <t>Could you list DRG groups where main treatment during the hospital visit might be related to Finnish word umpilisäke in Finnish DRG version?</t>
  </si>
  <si>
    <t>Could you list DRG groups where the main treatment during the hospital visit might be related to Finnish word umpilisäke in All DRG versions from all countries? Use the drg_comb column codes and combine them into one list</t>
  </si>
  <si>
    <t>370B, 370C, 370M, 370X, 371O, 371X, 372B, 372C, 372M, 372X, 373O, 373X, 374X, 375X</t>
  </si>
  <si>
    <t>Read attached tables and PDF documents. Answer following questions only based on the documents provided for you in this context. You are not allowed to use web searches.</t>
  </si>
  <si>
    <t>How would you list all NordDRG groups across all national versions where a maternal delivery (vaginal or cesarean) occurs during an inpatient, outpatient, or primary-care episode of care—excluding the 'left-over' groups (468, 470, 477, Z75R, Z76R)?</t>
  </si>
  <si>
    <t>How would you list all NordDRG groups across all national versions for newborn episodes of care (MDC 15) during an inpatient, outpatient, or primary-care setting—excluding the 'left-over' groups (468, 470, 477, Z75R, Z76R)?</t>
  </si>
  <si>
    <t>385A, 385B, 385C, 386N, 387N, 388A, 388B, 388C, 389A, 389B, 389C, 390X, 391O, 391X, 815O, 858T, 858V, 858W, 915O, 970Q, Q69L, Q93R, Q97R, Q99R, Q99U, Q99W</t>
  </si>
  <si>
    <t>How would you list all NordDRG groups across every national version where a maternal delivery (vaginal or cesarean) occurs during an inpatient or outpatient hospital episode of care - excluding primary-care delivery DRGs and the “left-over” groups (468*, 470*, 477*, Z75R, Z76R)?</t>
  </si>
  <si>
    <t>For a case with principal diagnosis B3710 and secondary diagnosis J1590 (Bacterial pneumonia, unspecified),is the secondary counted as a valid complication?</t>
  </si>
  <si>
    <t>Yes</t>
  </si>
  <si>
    <t>Understanding NordDRG Complication Logic</t>
  </si>
  <si>
    <t>No</t>
  </si>
  <si>
    <t>For a case with principal diagnosis A5990 and secondary diagnosis G8000 (Spastic cerebral palsy),is the secondary counted as a valid complication?</t>
  </si>
  <si>
    <t>Emulating DRG grouper</t>
  </si>
  <si>
    <t>drg_nat=470E, drg_logic_id=000D004100</t>
  </si>
  <si>
    <t>drg_nat=373, drg_logic_id=400D783000</t>
  </si>
  <si>
    <t>drg_nat=704O, drg_logic_id=106D120110</t>
  </si>
  <si>
    <t>drg_nat=468, drg_logic_id=499D000100</t>
  </si>
  <si>
    <t>drg_nat=911O, drg_logic_id=111D169960</t>
  </si>
  <si>
    <t>Grouper-1</t>
  </si>
  <si>
    <t>Grouper-2</t>
  </si>
  <si>
    <t>Grouper-3</t>
  </si>
  <si>
    <t>Grouper-4</t>
  </si>
  <si>
    <t>Grouper-5</t>
  </si>
  <si>
    <t>Grouper-6</t>
  </si>
  <si>
    <t>Select the test case with ID 49483 from your tables. Under the Finnish (Finland) NordDRG grouper logic, which DRG group would this case be assigned to? What is the drg_logic.id of the corresponding row?</t>
  </si>
  <si>
    <t>Logic-1</t>
  </si>
  <si>
    <t>Logic-2</t>
  </si>
  <si>
    <t>Logic-3</t>
  </si>
  <si>
    <t>Logic-4</t>
  </si>
  <si>
    <t>Logic-5</t>
  </si>
  <si>
    <t>Logic-6</t>
  </si>
  <si>
    <t>Logic-7</t>
  </si>
  <si>
    <t>Logic-8</t>
  </si>
  <si>
    <t>Logic-9</t>
  </si>
  <si>
    <t>Logic-10</t>
  </si>
  <si>
    <t>Logic-11</t>
  </si>
  <si>
    <t>Logic-12</t>
  </si>
  <si>
    <t>Logic-13</t>
  </si>
  <si>
    <t>Select the test case with ID 50184 from your tables. Under the Finnish (Finland) NordDRG grouper logic, which DRG group would this case be assigned to? What is the drg_logic.id of the corresponding row?</t>
  </si>
  <si>
    <t>Select the test case with ID 50166 from your tables. Under the Finnish (Finland) NordDRG grouper logic, which DRG group would this case be assigned to? What is the drg_logic.id of the corresponding row?</t>
  </si>
  <si>
    <t>Select the test case with ID 50629 from your tables. Under the Finnish (Finland) NordDRG grouper logic, which DRG group would this case be assigned to? What is the drg_logic.id of the corresponding row?</t>
  </si>
  <si>
    <t>Select the test case with ID 66704 from your tables. Under the Finnish (Finland) NordDRG grouper logic, which DRG group would this case be assigned to? What is the drg_logic.id of the corresponding row?</t>
  </si>
  <si>
    <t>Select the test case with ID 53273 from your tables. Under the Finnish (Finland) NordDRG grouper logic, which DRG group would this case be assigned to? What is the drg_logic.id of the corresponding row?</t>
  </si>
  <si>
    <t>drg_nat=384B, drg_logic_id=414D3710002</t>
  </si>
  <si>
    <t>Select the test case with ID 49486 from your tables. Under the Finnish (Finland) NordDRG grouper logic, which DRG group would this case be assigned to? What is the drg_logic.id of the corresponding row?</t>
  </si>
  <si>
    <t>drg_nat=388A, drg_logic_id=015D816140</t>
  </si>
  <si>
    <t>Select the test case with ID 49571 from your tables. Under the Finnish (Finland) NordDRG grouper logic, which DRG group would this case be assigned to? What is the drg_logic.id of the corresponding row?</t>
  </si>
  <si>
    <t>drg_nat=004, drg_logic_id=401D041000</t>
  </si>
  <si>
    <t>Select the test case with ID 49597 from your tables. Under the Finnish (Finland) NordDRG grouper logic, which DRG group would this case be assigned to? What is the drg_logic.id of the corresponding row?</t>
  </si>
  <si>
    <t>drg_nat=477, drg_logic_id=414D022100</t>
  </si>
  <si>
    <t>Select the test case with ID 49606 from your tables. Under the Finnish (Finland) NordDRG grouper logic, which DRG group would this case be assigned to? What is the drg_logic.id of the corresponding row?</t>
  </si>
  <si>
    <t>drg_nat=901O, drg_logic_id=101D089890</t>
  </si>
  <si>
    <t>Select the test case with ID 49968 from your tables. Under the Finnish (Finland) NordDRG grouper logic, which DRG group would this case be assigned to? What is the drg_logic.id of the corresponding row?</t>
  </si>
  <si>
    <t>drg_nat=125O, drg_logic_id=105D230000</t>
  </si>
  <si>
    <t>Select the test case with ID 54051 from your tables. Under the Finnish (Finland) NordDRG grouper logic, which DRG group would this case be assigned to? What is the drg_logic.id of the corresponding row?</t>
  </si>
  <si>
    <t>drg_nat=560A, drg_logic_id=400D313200</t>
  </si>
  <si>
    <t>Select the test case with ID 54096 from your tables. Under the Finnish (Finland) NordDRG grouper logic, which DRG group would this case be assigned to? What is the drg_logic.id of the corresponding row?</t>
  </si>
  <si>
    <t>drg_nat=291M, drg_logic_id=410D110101</t>
  </si>
  <si>
    <t>Grouper-7</t>
  </si>
  <si>
    <t>Grouper-8</t>
  </si>
  <si>
    <t>Grouper-9</t>
  </si>
  <si>
    <t>Grouper-10</t>
  </si>
  <si>
    <t>Grouper-11</t>
  </si>
  <si>
    <t>Grouper-12</t>
  </si>
  <si>
    <t>Grouper-13</t>
  </si>
  <si>
    <t>NordDRG AI Logic Benchmark</t>
  </si>
  <si>
    <t>NordDRG AI Grouper Benchmark</t>
  </si>
  <si>
    <t>Uses definition table version</t>
  </si>
  <si>
    <t>NordDRG_FIN2026PL0</t>
  </si>
  <si>
    <t>NordDRG AI Benchmark for LLMs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</si>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</sst>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C1A4-D263-594E-BD91-DF834EE95165}">
  <dimension ref="A2:F53"/>
  <sheetViews>
    <sheetView showGridLines="0" tabSelected="1" workbookViewId="0">
      <selection activeCell="A2" sqref="A2"/>
    </sheetView>
  </sheetViews>
  <sheetFormatPr baseColWidth="10" defaultColWidth="11.1640625" defaultRowHeight="16" x14ac:dyDescent="0.2"/>
  <cols>
    <col min="1" max="1" width="10.83203125" style="8" customWidth="1"/>
    <col min="2" max="2" width="43.83203125" customWidth="1"/>
    <col min="3" max="3" width="17.6640625" customWidth="1"/>
    <col min="4" max="4" width="176.33203125" customWidth="1"/>
    <col min="5" max="5" width="82.6640625" customWidth="1"/>
    <col min="6" max="6" width="32.83203125" customWidth="1"/>
    <col min="7" max="7" width="19.33203125" customWidth="1"/>
  </cols>
  <sheetData>
    <row r="2" spans="2:4" ht="27" x14ac:dyDescent="0.35">
      <c r="B2" s="4" t="s">
        <v>125</v>
      </c>
      <c r="C2" s="4"/>
    </row>
    <row r="3" spans="2:4" x14ac:dyDescent="0.2">
      <c r="B3" s="9" t="s">
        <v>126</v>
      </c>
    </row>
    <row r="4" spans="2:4" x14ac:dyDescent="0.2">
      <c r="B4" s="2" t="s">
        <v>25</v>
      </c>
      <c r="C4" s="2" t="s">
        <v>26</v>
      </c>
      <c r="D4" s="2" t="s">
        <v>27</v>
      </c>
    </row>
    <row r="5" spans="2:4" x14ac:dyDescent="0.2">
      <c r="B5" t="s">
        <v>28</v>
      </c>
      <c r="C5" t="s">
        <v>29</v>
      </c>
      <c r="D5" t="s">
        <v>30</v>
      </c>
    </row>
    <row r="6" spans="2:4" x14ac:dyDescent="0.2">
      <c r="B6" t="s">
        <v>31</v>
      </c>
      <c r="C6" t="s">
        <v>32</v>
      </c>
      <c r="D6" s="5" t="s">
        <v>33</v>
      </c>
    </row>
    <row r="7" spans="2:4" x14ac:dyDescent="0.2">
      <c r="B7" t="s">
        <v>34</v>
      </c>
      <c r="C7" t="s">
        <v>29</v>
      </c>
      <c r="D7" t="s">
        <v>35</v>
      </c>
    </row>
    <row r="8" spans="2:4" x14ac:dyDescent="0.2">
      <c r="B8" t="s">
        <v>36</v>
      </c>
      <c r="C8" t="s">
        <v>29</v>
      </c>
      <c r="D8" t="s">
        <v>37</v>
      </c>
    </row>
    <row r="9" spans="2:4" x14ac:dyDescent="0.2">
      <c r="B9" t="s">
        <v>47</v>
      </c>
      <c r="C9" t="s">
        <v>29</v>
      </c>
      <c r="D9" t="s">
        <v>48</v>
      </c>
    </row>
    <row r="11" spans="2:4" x14ac:dyDescent="0.2">
      <c r="B11" s="2" t="s">
        <v>38</v>
      </c>
      <c r="C11" s="2" t="s">
        <v>39</v>
      </c>
      <c r="D11" s="2" t="str">
        <f>D4</f>
        <v>Description</v>
      </c>
    </row>
    <row r="12" spans="2:4" x14ac:dyDescent="0.2">
      <c r="B12" s="6" t="str">
        <f>B5</f>
        <v>Definition Tables</v>
      </c>
      <c r="C12" t="s">
        <v>40</v>
      </c>
      <c r="D12" t="str">
        <f>D5</f>
        <v>NordDRG Definition Tables</v>
      </c>
    </row>
    <row r="13" spans="2:4" x14ac:dyDescent="0.2">
      <c r="B13" t="str">
        <f>B5&amp;" + "&amp;B6</f>
        <v>Definition Tables + PDF Instructions</v>
      </c>
      <c r="C13" t="s">
        <v>41</v>
      </c>
      <c r="D13" t="s">
        <v>42</v>
      </c>
    </row>
    <row r="14" spans="2:4" x14ac:dyDescent="0.2">
      <c r="B14" t="str">
        <f>B7</f>
        <v>Definition Tables: Part of the tables FI</v>
      </c>
      <c r="C14" t="s">
        <v>43</v>
      </c>
      <c r="D14" t="str">
        <f>D7</f>
        <v>NordDRG Definition Tables: Finnish DRG List with Finnish Descriptions only</v>
      </c>
    </row>
    <row r="15" spans="2:4" x14ac:dyDescent="0.2">
      <c r="B15" t="str">
        <f>B8</f>
        <v>Definition Tables: Part of the tables FI-EN</v>
      </c>
      <c r="C15" t="s">
        <v>43</v>
      </c>
      <c r="D15" t="str">
        <f>D8</f>
        <v>NordDRG Definition Tables: Finnish DRG List with Finnish and English descriptions of groups</v>
      </c>
    </row>
    <row r="17" spans="1:6" x14ac:dyDescent="0.2">
      <c r="B17" t="s">
        <v>52</v>
      </c>
      <c r="D17" s="6" t="s">
        <v>58</v>
      </c>
    </row>
    <row r="18" spans="1:6" x14ac:dyDescent="0.2">
      <c r="D18" s="6"/>
    </row>
    <row r="19" spans="1:6" ht="27" x14ac:dyDescent="0.35">
      <c r="B19" s="4" t="s">
        <v>121</v>
      </c>
      <c r="D19" s="6"/>
    </row>
    <row r="20" spans="1:6" x14ac:dyDescent="0.2">
      <c r="B20" t="s">
        <v>123</v>
      </c>
      <c r="C20" t="s">
        <v>24</v>
      </c>
      <c r="D20" s="6"/>
    </row>
    <row r="22" spans="1:6" x14ac:dyDescent="0.2">
      <c r="A22" s="1" t="s">
        <v>21</v>
      </c>
      <c r="B22" s="2" t="s">
        <v>1</v>
      </c>
      <c r="C22" s="2" t="s">
        <v>3</v>
      </c>
      <c r="D22" s="2" t="s">
        <v>8</v>
      </c>
      <c r="E22" s="2" t="s">
        <v>9</v>
      </c>
      <c r="F22" s="2" t="s">
        <v>12</v>
      </c>
    </row>
    <row r="23" spans="1:6" x14ac:dyDescent="0.2">
      <c r="A23" s="8" t="s">
        <v>81</v>
      </c>
      <c r="B23" t="s">
        <v>0</v>
      </c>
      <c r="C23" t="s">
        <v>4</v>
      </c>
      <c r="D23" t="s">
        <v>53</v>
      </c>
      <c r="E23" t="s">
        <v>11</v>
      </c>
      <c r="F23" t="s">
        <v>13</v>
      </c>
    </row>
    <row r="24" spans="1:6" x14ac:dyDescent="0.2">
      <c r="A24" s="8" t="s">
        <v>82</v>
      </c>
      <c r="B24" t="s">
        <v>0</v>
      </c>
      <c r="C24" t="s">
        <v>4</v>
      </c>
      <c r="D24" t="s">
        <v>54</v>
      </c>
      <c r="E24" t="s">
        <v>10</v>
      </c>
      <c r="F24" t="s">
        <v>13</v>
      </c>
    </row>
    <row r="25" spans="1:6" x14ac:dyDescent="0.2">
      <c r="A25" s="8" t="s">
        <v>83</v>
      </c>
      <c r="B25" t="s">
        <v>6</v>
      </c>
      <c r="C25" t="s">
        <v>4</v>
      </c>
      <c r="D25" t="s">
        <v>55</v>
      </c>
      <c r="E25" t="s">
        <v>10</v>
      </c>
      <c r="F25" t="s">
        <v>13</v>
      </c>
    </row>
    <row r="26" spans="1:6" x14ac:dyDescent="0.2">
      <c r="A26" s="8" t="s">
        <v>84</v>
      </c>
      <c r="B26" t="s">
        <v>0</v>
      </c>
      <c r="C26" t="s">
        <v>5</v>
      </c>
      <c r="D26" t="s">
        <v>59</v>
      </c>
      <c r="E26" t="s">
        <v>14</v>
      </c>
      <c r="F26" t="s">
        <v>13</v>
      </c>
    </row>
    <row r="27" spans="1:6" x14ac:dyDescent="0.2">
      <c r="A27" s="8" t="s">
        <v>85</v>
      </c>
      <c r="B27" t="s">
        <v>6</v>
      </c>
      <c r="C27" t="s">
        <v>5</v>
      </c>
      <c r="D27" t="s">
        <v>56</v>
      </c>
      <c r="E27" t="s">
        <v>11</v>
      </c>
      <c r="F27" t="s">
        <v>13</v>
      </c>
    </row>
    <row r="28" spans="1:6" x14ac:dyDescent="0.2">
      <c r="A28" s="8" t="s">
        <v>86</v>
      </c>
      <c r="B28" t="s">
        <v>16</v>
      </c>
      <c r="C28" t="s">
        <v>5</v>
      </c>
      <c r="D28" t="s">
        <v>44</v>
      </c>
      <c r="E28" t="s">
        <v>17</v>
      </c>
      <c r="F28" t="s">
        <v>22</v>
      </c>
    </row>
    <row r="29" spans="1:6" ht="17" x14ac:dyDescent="0.2">
      <c r="A29" s="8" t="s">
        <v>87</v>
      </c>
      <c r="B29" t="s">
        <v>7</v>
      </c>
      <c r="C29" t="s">
        <v>5</v>
      </c>
      <c r="D29" t="s">
        <v>49</v>
      </c>
      <c r="E29" t="s">
        <v>19</v>
      </c>
      <c r="F29" s="3" t="s">
        <v>23</v>
      </c>
    </row>
    <row r="30" spans="1:6" x14ac:dyDescent="0.2">
      <c r="A30" s="8" t="s">
        <v>88</v>
      </c>
      <c r="B30" s="7" t="s">
        <v>45</v>
      </c>
      <c r="C30" t="s">
        <v>5</v>
      </c>
      <c r="D30" t="s">
        <v>50</v>
      </c>
      <c r="E30" t="s">
        <v>20</v>
      </c>
      <c r="F30" t="s">
        <v>18</v>
      </c>
    </row>
    <row r="31" spans="1:6" x14ac:dyDescent="0.2">
      <c r="A31" s="8" t="s">
        <v>89</v>
      </c>
      <c r="B31" t="s">
        <v>7</v>
      </c>
      <c r="C31" t="s">
        <v>5</v>
      </c>
      <c r="D31" t="s">
        <v>2</v>
      </c>
      <c r="E31" t="s">
        <v>15</v>
      </c>
    </row>
    <row r="32" spans="1:6" x14ac:dyDescent="0.2">
      <c r="A32" s="8" t="s">
        <v>90</v>
      </c>
      <c r="B32" t="s">
        <v>0</v>
      </c>
      <c r="C32" t="s">
        <v>5</v>
      </c>
      <c r="D32" t="s">
        <v>62</v>
      </c>
      <c r="E32" t="s">
        <v>57</v>
      </c>
    </row>
    <row r="33" spans="1:5" x14ac:dyDescent="0.2">
      <c r="A33" s="8" t="s">
        <v>91</v>
      </c>
      <c r="B33" t="s">
        <v>0</v>
      </c>
      <c r="C33" t="s">
        <v>5</v>
      </c>
      <c r="D33" t="s">
        <v>60</v>
      </c>
      <c r="E33" t="s">
        <v>61</v>
      </c>
    </row>
    <row r="34" spans="1:5" x14ac:dyDescent="0.2">
      <c r="A34" s="8" t="s">
        <v>92</v>
      </c>
      <c r="B34" t="s">
        <v>65</v>
      </c>
      <c r="C34" t="s">
        <v>5</v>
      </c>
      <c r="D34" t="s">
        <v>67</v>
      </c>
      <c r="E34" t="s">
        <v>66</v>
      </c>
    </row>
    <row r="35" spans="1:5" x14ac:dyDescent="0.2">
      <c r="A35" s="8" t="s">
        <v>93</v>
      </c>
      <c r="B35" t="s">
        <v>65</v>
      </c>
      <c r="C35" t="s">
        <v>5</v>
      </c>
      <c r="D35" t="s">
        <v>63</v>
      </c>
      <c r="E35" t="s">
        <v>64</v>
      </c>
    </row>
    <row r="37" spans="1:5" ht="27" x14ac:dyDescent="0.35">
      <c r="B37" s="4" t="s">
        <v>122</v>
      </c>
    </row>
    <row r="38" spans="1:5" x14ac:dyDescent="0.2">
      <c r="B38" t="s">
        <v>123</v>
      </c>
      <c r="C38" t="s">
        <v>124</v>
      </c>
    </row>
    <row r="40" spans="1:5" x14ac:dyDescent="0.2">
      <c r="A40" s="1" t="str">
        <f>A22</f>
        <v>ID</v>
      </c>
      <c r="B40" s="2" t="str">
        <f t="shared" ref="B40:E40" si="0">B22</f>
        <v>Use Case Category</v>
      </c>
      <c r="C40" s="2" t="str">
        <f t="shared" si="0"/>
        <v>Difficulty</v>
      </c>
      <c r="D40" s="2" t="str">
        <f t="shared" si="0"/>
        <v>CaseMix Question</v>
      </c>
      <c r="E40" s="2" t="str">
        <f t="shared" si="0"/>
        <v>Right answer</v>
      </c>
    </row>
    <row r="41" spans="1:5" x14ac:dyDescent="0.2">
      <c r="A41" s="8" t="s">
        <v>74</v>
      </c>
      <c r="B41" t="s">
        <v>68</v>
      </c>
      <c r="C41" t="s">
        <v>46</v>
      </c>
      <c r="D41" t="s">
        <v>80</v>
      </c>
      <c r="E41" t="s">
        <v>69</v>
      </c>
    </row>
    <row r="42" spans="1:5" x14ac:dyDescent="0.2">
      <c r="A42" s="8" t="s">
        <v>75</v>
      </c>
      <c r="B42" t="s">
        <v>68</v>
      </c>
      <c r="C42" t="s">
        <v>46</v>
      </c>
      <c r="D42" t="s">
        <v>94</v>
      </c>
      <c r="E42" t="s">
        <v>70</v>
      </c>
    </row>
    <row r="43" spans="1:5" x14ac:dyDescent="0.2">
      <c r="A43" s="8" t="s">
        <v>76</v>
      </c>
      <c r="B43" t="s">
        <v>68</v>
      </c>
      <c r="C43" t="s">
        <v>46</v>
      </c>
      <c r="D43" t="s">
        <v>95</v>
      </c>
      <c r="E43" t="s">
        <v>71</v>
      </c>
    </row>
    <row r="44" spans="1:5" x14ac:dyDescent="0.2">
      <c r="A44" s="8" t="s">
        <v>77</v>
      </c>
      <c r="B44" t="s">
        <v>68</v>
      </c>
      <c r="C44" t="s">
        <v>46</v>
      </c>
      <c r="D44" t="s">
        <v>96</v>
      </c>
      <c r="E44" t="s">
        <v>72</v>
      </c>
    </row>
    <row r="45" spans="1:5" x14ac:dyDescent="0.2">
      <c r="A45" s="8" t="s">
        <v>78</v>
      </c>
      <c r="B45" t="s">
        <v>68</v>
      </c>
      <c r="C45" t="s">
        <v>46</v>
      </c>
      <c r="D45" t="s">
        <v>97</v>
      </c>
      <c r="E45" t="s">
        <v>73</v>
      </c>
    </row>
    <row r="46" spans="1:5" x14ac:dyDescent="0.2">
      <c r="A46" s="8" t="s">
        <v>79</v>
      </c>
      <c r="B46" t="s">
        <v>68</v>
      </c>
      <c r="C46" t="s">
        <v>46</v>
      </c>
      <c r="D46" t="s">
        <v>98</v>
      </c>
      <c r="E46" t="s">
        <v>99</v>
      </c>
    </row>
    <row r="47" spans="1:5" x14ac:dyDescent="0.2">
      <c r="A47" s="8" t="s">
        <v>114</v>
      </c>
      <c r="B47" t="s">
        <v>68</v>
      </c>
      <c r="C47" t="s">
        <v>46</v>
      </c>
      <c r="D47" t="s">
        <v>100</v>
      </c>
      <c r="E47" t="s">
        <v>101</v>
      </c>
    </row>
    <row r="48" spans="1:5" x14ac:dyDescent="0.2">
      <c r="A48" s="8" t="s">
        <v>115</v>
      </c>
      <c r="B48" t="s">
        <v>68</v>
      </c>
      <c r="C48" t="s">
        <v>46</v>
      </c>
      <c r="D48" t="s">
        <v>102</v>
      </c>
      <c r="E48" t="s">
        <v>103</v>
      </c>
    </row>
    <row r="49" spans="1:5" x14ac:dyDescent="0.2">
      <c r="A49" s="8" t="s">
        <v>116</v>
      </c>
      <c r="B49" t="s">
        <v>68</v>
      </c>
      <c r="C49" t="s">
        <v>46</v>
      </c>
      <c r="D49" t="s">
        <v>104</v>
      </c>
      <c r="E49" t="s">
        <v>105</v>
      </c>
    </row>
    <row r="50" spans="1:5" x14ac:dyDescent="0.2">
      <c r="A50" s="8" t="s">
        <v>117</v>
      </c>
      <c r="B50" t="s">
        <v>68</v>
      </c>
      <c r="C50" t="s">
        <v>46</v>
      </c>
      <c r="D50" t="s">
        <v>106</v>
      </c>
      <c r="E50" t="s">
        <v>107</v>
      </c>
    </row>
    <row r="51" spans="1:5" x14ac:dyDescent="0.2">
      <c r="A51" s="8" t="s">
        <v>118</v>
      </c>
      <c r="B51" t="s">
        <v>68</v>
      </c>
      <c r="C51" t="s">
        <v>46</v>
      </c>
      <c r="D51" t="s">
        <v>108</v>
      </c>
      <c r="E51" t="s">
        <v>109</v>
      </c>
    </row>
    <row r="52" spans="1:5" x14ac:dyDescent="0.2">
      <c r="A52" s="8" t="s">
        <v>119</v>
      </c>
      <c r="B52" t="s">
        <v>68</v>
      </c>
      <c r="C52" t="s">
        <v>46</v>
      </c>
      <c r="D52" t="s">
        <v>110</v>
      </c>
      <c r="E52" t="s">
        <v>111</v>
      </c>
    </row>
    <row r="53" spans="1:5" x14ac:dyDescent="0.2">
      <c r="A53" s="8" t="s">
        <v>120</v>
      </c>
      <c r="B53" t="s">
        <v>68</v>
      </c>
      <c r="C53" t="s">
        <v>46</v>
      </c>
      <c r="D53" t="s">
        <v>112</v>
      </c>
      <c r="E53" t="s">
        <v>113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0A73-535C-7B4F-AE5A-9F673E2D2904}">
  <dimension ref="B2:C30"/>
  <sheetViews>
    <sheetView workbookViewId="0"/>
  </sheetViews>
  <sheetFormatPr baseColWidth="10" defaultRowHeight="16" x14ac:dyDescent="0.2"/>
  <cols>
    <col min="1" max="1" width="4.33203125" customWidth="1"/>
    <col min="3" max="3" width="227.6640625" customWidth="1"/>
  </cols>
  <sheetData>
    <row r="2" spans="2:3" x14ac:dyDescent="0.2">
      <c r="B2" t="str">
        <f>'NordDRG-LLM-Benchmark 20250820'!A22</f>
        <v>ID</v>
      </c>
      <c r="C2" t="s">
        <v>51</v>
      </c>
    </row>
    <row r="3" spans="2:3" x14ac:dyDescent="0.2">
      <c r="B3" t="str">
        <f>'NordDRG-LLM-Benchmark 20250820'!A23</f>
        <v>Logic-1</v>
      </c>
      <c r="C3" t="str">
        <f>'NordDRG-LLM-Benchmark 20250820'!D23</f>
        <v>Could you list all DRG groups in all NordDRG national version where the main treatment during the hospital visit was related to appendectomy? Please provide a list of drg_comb codes without duplicates.</v>
      </c>
    </row>
    <row r="4" spans="2:3" x14ac:dyDescent="0.2">
      <c r="B4" t="str">
        <f>'NordDRG-LLM-Benchmark 20250820'!A24</f>
        <v>Logic-2</v>
      </c>
      <c r="C4" t="str">
        <f>'NordDRG-LLM-Benchmark 20250820'!D24</f>
        <v>Could you list all DRG groups in the Finnish DRG version where the main treatment during the hospital visit was related to appendectomy? Please provide a list of drg_comb codes without duplicates.</v>
      </c>
    </row>
    <row r="5" spans="2:3" x14ac:dyDescent="0.2">
      <c r="B5" t="str">
        <f>'NordDRG-LLM-Benchmark 20250820'!A25</f>
        <v>Logic-3</v>
      </c>
      <c r="C5" t="str">
        <f>'NordDRG-LLM-Benchmark 20250820'!D25</f>
        <v>Could you list DRG groups where main treatment during the hospital visit might be related to Finnish word umpilisäke in Finnish DRG version?</v>
      </c>
    </row>
    <row r="6" spans="2:3" x14ac:dyDescent="0.2">
      <c r="B6" t="str">
        <f>'NordDRG-LLM-Benchmark 20250820'!A26</f>
        <v>Logic-4</v>
      </c>
      <c r="C6" t="str">
        <f>'NordDRG-LLM-Benchmark 20250820'!D26</f>
        <v>How would you list all NordDRG groups across all national versions where a maternal delivery (vaginal or cesarean) occurs during an inpatient, outpatient, or primary-care episode of care—excluding the 'left-over' groups (468, 470, 477, Z75R, Z76R)?</v>
      </c>
    </row>
    <row r="7" spans="2:3" x14ac:dyDescent="0.2">
      <c r="B7" t="str">
        <f>'NordDRG-LLM-Benchmark 20250820'!A27</f>
        <v>Logic-5</v>
      </c>
      <c r="C7" t="str">
        <f>'NordDRG-LLM-Benchmark 20250820'!D27</f>
        <v>Could you list DRG groups where the main treatment during the hospital visit might be related to Finnish word umpilisäke in All DRG versions from all countries? Use the drg_comb column codes and combine them into one list</v>
      </c>
    </row>
    <row r="8" spans="2:3" x14ac:dyDescent="0.2">
      <c r="B8" t="str">
        <f>'NordDRG-LLM-Benchmark 20250820'!A28</f>
        <v>Logic-6</v>
      </c>
      <c r="C8" t="str">
        <f>'NordDRG-LLM-Benchmark 20250820'!D28</f>
        <v>For DRG 166N which procedure codes have the connection through the procedure property? Use NCSP plus codes in your answer</v>
      </c>
    </row>
    <row r="9" spans="2:3" x14ac:dyDescent="0.2">
      <c r="B9" t="str">
        <f>'NordDRG-LLM-Benchmark 20250820'!A29</f>
        <v>Logic-7</v>
      </c>
      <c r="C9" t="str">
        <f>'NordDRG-LLM-Benchmark 20250820'!D29</f>
        <v>Which diagnosis codes are linked to DRG 166N through diagnosis properties in All DRG versions from all countries?</v>
      </c>
    </row>
    <row r="10" spans="2:3" x14ac:dyDescent="0.2">
      <c r="B10" t="str">
        <f>'NordDRG-LLM-Benchmark 20250820'!A30</f>
        <v>Logic-8</v>
      </c>
      <c r="C10" t="str">
        <f>'NordDRG-LLM-Benchmark 20250820'!D30</f>
        <v>Which diagnosis (ICD) codes are connected to diagnosis property 14X03?</v>
      </c>
    </row>
    <row r="11" spans="2:3" x14ac:dyDescent="0.2">
      <c r="B11" t="str">
        <f>'NordDRG-LLM-Benchmark 20250820'!A31</f>
        <v>Logic-9</v>
      </c>
      <c r="C11" t="str">
        <f>'NordDRG-LLM-Benchmark 20250820'!D31</f>
        <v>Which diagnosis categories and properties are listed in drg_logic for DRG group 372C?</v>
      </c>
    </row>
    <row r="12" spans="2:3" x14ac:dyDescent="0.2">
      <c r="B12" t="str">
        <f>'NordDRG-LLM-Benchmark 20250820'!A32</f>
        <v>Logic-10</v>
      </c>
      <c r="C12" t="str">
        <f>'NordDRG-LLM-Benchmark 20250820'!D32</f>
        <v>How would you list all NordDRG groups across every national version where a maternal delivery (vaginal or cesarean) occurs during an inpatient or outpatient hospital episode of care - excluding primary-care delivery DRGs and the “left-over” groups (468*, 470*, 477*, Z75R, Z76R)?</v>
      </c>
    </row>
    <row r="13" spans="2:3" x14ac:dyDescent="0.2">
      <c r="B13" t="str">
        <f>'NordDRG-LLM-Benchmark 20250820'!A33</f>
        <v>Logic-11</v>
      </c>
      <c r="C13" t="str">
        <f>'NordDRG-LLM-Benchmark 20250820'!D33</f>
        <v>How would you list all NordDRG groups across all national versions for newborn episodes of care (MDC 15) during an inpatient, outpatient, or primary-care setting—excluding the 'left-over' groups (468, 470, 477, Z75R, Z76R)?</v>
      </c>
    </row>
    <row r="14" spans="2:3" x14ac:dyDescent="0.2">
      <c r="B14" t="str">
        <f>'NordDRG-LLM-Benchmark 20250820'!A34</f>
        <v>Logic-12</v>
      </c>
      <c r="C14" t="str">
        <f>'NordDRG-LLM-Benchmark 20250820'!D34</f>
        <v>For a case with principal diagnosis A5990 and secondary diagnosis G8000 (Spastic cerebral palsy),is the secondary counted as a valid complication?</v>
      </c>
    </row>
    <row r="15" spans="2:3" x14ac:dyDescent="0.2">
      <c r="B15" t="str">
        <f>'NordDRG-LLM-Benchmark 20250820'!A35</f>
        <v>Logic-13</v>
      </c>
      <c r="C15" t="str">
        <f>'NordDRG-LLM-Benchmark 20250820'!D35</f>
        <v>For a case with principal diagnosis B3710 and secondary diagnosis J1590 (Bacterial pneumonia, unspecified),is the secondary counted as a valid complication?</v>
      </c>
    </row>
    <row r="17" spans="2:3" x14ac:dyDescent="0.2">
      <c r="B17" t="str">
        <f>'NordDRG-LLM-Benchmark 20250820'!A40</f>
        <v>ID</v>
      </c>
      <c r="C17" t="s">
        <v>51</v>
      </c>
    </row>
    <row r="18" spans="2:3" x14ac:dyDescent="0.2">
      <c r="B18" t="str">
        <f>'NordDRG-LLM-Benchmark 20250820'!A41</f>
        <v>Grouper-1</v>
      </c>
      <c r="C18" t="str">
        <f>'NordDRG-LLM-Benchmark 20250820'!D41</f>
        <v>Select the test case with ID 49483 from your tables. Under the Finnish (Finland) NordDRG grouper logic, which DRG group would this case be assigned to? What is the drg_logic.id of the corresponding row?</v>
      </c>
    </row>
    <row r="19" spans="2:3" x14ac:dyDescent="0.2">
      <c r="B19" t="str">
        <f>'NordDRG-LLM-Benchmark 20250820'!A42</f>
        <v>Grouper-2</v>
      </c>
      <c r="C19" t="str">
        <f>'NordDRG-LLM-Benchmark 20250820'!D42</f>
        <v>Select the test case with ID 50184 from your tables. Under the Finnish (Finland) NordDRG grouper logic, which DRG group would this case be assigned to? What is the drg_logic.id of the corresponding row?</v>
      </c>
    </row>
    <row r="20" spans="2:3" x14ac:dyDescent="0.2">
      <c r="B20" t="str">
        <f>'NordDRG-LLM-Benchmark 20250820'!A43</f>
        <v>Grouper-3</v>
      </c>
      <c r="C20" t="str">
        <f>'NordDRG-LLM-Benchmark 20250820'!D43</f>
        <v>Select the test case with ID 50166 from your tables. Under the Finnish (Finland) NordDRG grouper logic, which DRG group would this case be assigned to? What is the drg_logic.id of the corresponding row?</v>
      </c>
    </row>
    <row r="21" spans="2:3" x14ac:dyDescent="0.2">
      <c r="B21" t="str">
        <f>'NordDRG-LLM-Benchmark 20250820'!A44</f>
        <v>Grouper-4</v>
      </c>
      <c r="C21" t="str">
        <f>'NordDRG-LLM-Benchmark 20250820'!D44</f>
        <v>Select the test case with ID 50629 from your tables. Under the Finnish (Finland) NordDRG grouper logic, which DRG group would this case be assigned to? What is the drg_logic.id of the corresponding row?</v>
      </c>
    </row>
    <row r="22" spans="2:3" x14ac:dyDescent="0.2">
      <c r="B22" t="str">
        <f>'NordDRG-LLM-Benchmark 20250820'!A45</f>
        <v>Grouper-5</v>
      </c>
      <c r="C22" t="str">
        <f>'NordDRG-LLM-Benchmark 20250820'!D45</f>
        <v>Select the test case with ID 66704 from your tables. Under the Finnish (Finland) NordDRG grouper logic, which DRG group would this case be assigned to? What is the drg_logic.id of the corresponding row?</v>
      </c>
    </row>
    <row r="23" spans="2:3" x14ac:dyDescent="0.2">
      <c r="B23" t="str">
        <f>'NordDRG-LLM-Benchmark 20250820'!A46</f>
        <v>Grouper-6</v>
      </c>
      <c r="C23" t="str">
        <f>'NordDRG-LLM-Benchmark 20250820'!D46</f>
        <v>Select the test case with ID 53273 from your tables. Under the Finnish (Finland) NordDRG grouper logic, which DRG group would this case be assigned to? What is the drg_logic.id of the corresponding row?</v>
      </c>
    </row>
    <row r="24" spans="2:3" x14ac:dyDescent="0.2">
      <c r="B24" t="str">
        <f>'NordDRG-LLM-Benchmark 20250820'!A47</f>
        <v>Grouper-7</v>
      </c>
      <c r="C24" t="str">
        <f>'NordDRG-LLM-Benchmark 20250820'!D47</f>
        <v>Select the test case with ID 49486 from your tables. Under the Finnish (Finland) NordDRG grouper logic, which DRG group would this case be assigned to? What is the drg_logic.id of the corresponding row?</v>
      </c>
    </row>
    <row r="25" spans="2:3" x14ac:dyDescent="0.2">
      <c r="B25" t="str">
        <f>'NordDRG-LLM-Benchmark 20250820'!A48</f>
        <v>Grouper-8</v>
      </c>
      <c r="C25" t="str">
        <f>'NordDRG-LLM-Benchmark 20250820'!D48</f>
        <v>Select the test case with ID 49571 from your tables. Under the Finnish (Finland) NordDRG grouper logic, which DRG group would this case be assigned to? What is the drg_logic.id of the corresponding row?</v>
      </c>
    </row>
    <row r="26" spans="2:3" x14ac:dyDescent="0.2">
      <c r="B26" t="str">
        <f>'NordDRG-LLM-Benchmark 20250820'!A49</f>
        <v>Grouper-9</v>
      </c>
      <c r="C26" t="str">
        <f>'NordDRG-LLM-Benchmark 20250820'!D49</f>
        <v>Select the test case with ID 49597 from your tables. Under the Finnish (Finland) NordDRG grouper logic, which DRG group would this case be assigned to? What is the drg_logic.id of the corresponding row?</v>
      </c>
    </row>
    <row r="27" spans="2:3" x14ac:dyDescent="0.2">
      <c r="B27" t="str">
        <f>'NordDRG-LLM-Benchmark 20250820'!A50</f>
        <v>Grouper-10</v>
      </c>
      <c r="C27" t="str">
        <f>'NordDRG-LLM-Benchmark 20250820'!D50</f>
        <v>Select the test case with ID 49606 from your tables. Under the Finnish (Finland) NordDRG grouper logic, which DRG group would this case be assigned to? What is the drg_logic.id of the corresponding row?</v>
      </c>
    </row>
    <row r="28" spans="2:3" x14ac:dyDescent="0.2">
      <c r="B28" t="str">
        <f>'NordDRG-LLM-Benchmark 20250820'!A51</f>
        <v>Grouper-11</v>
      </c>
      <c r="C28" t="str">
        <f>'NordDRG-LLM-Benchmark 20250820'!D51</f>
        <v>Select the test case with ID 49968 from your tables. Under the Finnish (Finland) NordDRG grouper logic, which DRG group would this case be assigned to? What is the drg_logic.id of the corresponding row?</v>
      </c>
    </row>
    <row r="29" spans="2:3" x14ac:dyDescent="0.2">
      <c r="B29" t="str">
        <f>'NordDRG-LLM-Benchmark 20250820'!A52</f>
        <v>Grouper-12</v>
      </c>
      <c r="C29" t="str">
        <f>'NordDRG-LLM-Benchmark 20250820'!D52</f>
        <v>Select the test case with ID 54051 from your tables. Under the Finnish (Finland) NordDRG grouper logic, which DRG group would this case be assigned to? What is the drg_logic.id of the corresponding row?</v>
      </c>
    </row>
    <row r="30" spans="2:3" x14ac:dyDescent="0.2">
      <c r="B30" t="str">
        <f>'NordDRG-LLM-Benchmark 20250820'!A53</f>
        <v>Grouper-13</v>
      </c>
      <c r="C30" t="str">
        <f>'NordDRG-LLM-Benchmark 20250820'!D53</f>
        <v>Select the test case with ID 54096 from your tables. Under the Finnish (Finland) NordDRG grouper logic, which DRG group would this case be assigned to? What is the drg_logic.id of the corresponding row?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F92D-AE54-1040-884D-408D98E22890}">
  <dimension ref="B2:C30"/>
  <sheetViews>
    <sheetView workbookViewId="0"/>
  </sheetViews>
  <sheetFormatPr baseColWidth="10" defaultColWidth="4.83203125" defaultRowHeight="16" x14ac:dyDescent="0.2"/>
  <cols>
    <col min="1" max="1" width="4.1640625" customWidth="1"/>
    <col min="2" max="2" width="13.5" customWidth="1"/>
    <col min="3" max="3" width="150.83203125" customWidth="1"/>
  </cols>
  <sheetData>
    <row r="2" spans="2:3" x14ac:dyDescent="0.2">
      <c r="B2" t="str">
        <f>'NordDRG-LLM-Benchmark 20250820'!A22</f>
        <v>ID</v>
      </c>
      <c r="C2" t="str">
        <f>'NordDRG-LLM-Benchmark 20250820'!E22</f>
        <v>Right answer</v>
      </c>
    </row>
    <row r="3" spans="2:3" x14ac:dyDescent="0.2">
      <c r="B3" t="str">
        <f>'NordDRG-LLM-Benchmark 20250820'!A23</f>
        <v>Logic-1</v>
      </c>
      <c r="C3" t="str">
        <f>'NordDRG-LLM-Benchmark 20250820'!E23</f>
        <v>166C, 166N,167N,167X,167O</v>
      </c>
    </row>
    <row r="4" spans="2:3" x14ac:dyDescent="0.2">
      <c r="B4" t="str">
        <f>'NordDRG-LLM-Benchmark 20250820'!A24</f>
        <v>Logic-2</v>
      </c>
      <c r="C4" t="str">
        <f>'NordDRG-LLM-Benchmark 20250820'!E24</f>
        <v>166N,167X,167O</v>
      </c>
    </row>
    <row r="5" spans="2:3" x14ac:dyDescent="0.2">
      <c r="B5" t="str">
        <f>'NordDRG-LLM-Benchmark 20250820'!A25</f>
        <v>Logic-3</v>
      </c>
      <c r="C5" t="str">
        <f>'NordDRG-LLM-Benchmark 20250820'!E25</f>
        <v>166N,167X,167O</v>
      </c>
    </row>
    <row r="6" spans="2:3" x14ac:dyDescent="0.2">
      <c r="B6" t="str">
        <f>'NordDRG-LLM-Benchmark 20250820'!A26</f>
        <v>Logic-4</v>
      </c>
      <c r="C6" t="str">
        <f>'NordDRG-LLM-Benchmark 20250820'!E26</f>
        <v>370B, 370C, 370M, 370X, 371O, 371X, 372B, 372C, 372M, 372X, 373O, 373X, 374X, 375X, P05S, P05T</v>
      </c>
    </row>
    <row r="7" spans="2:3" x14ac:dyDescent="0.2">
      <c r="B7" t="str">
        <f>'NordDRG-LLM-Benchmark 20250820'!A27</f>
        <v>Logic-5</v>
      </c>
      <c r="C7" t="str">
        <f>'NordDRG-LLM-Benchmark 20250820'!E27</f>
        <v>166C, 166N,167N,167X,167O</v>
      </c>
    </row>
    <row r="8" spans="2:3" x14ac:dyDescent="0.2">
      <c r="B8" t="str">
        <f>'NordDRG-LLM-Benchmark 20250820'!A28</f>
        <v>Logic-6</v>
      </c>
      <c r="C8" t="str">
        <f>'NordDRG-LLM-Benchmark 20250820'!E28</f>
        <v>JESA00, JESA01, JESA10, JESW96, JESW97</v>
      </c>
    </row>
    <row r="9" spans="2:3" x14ac:dyDescent="0.2">
      <c r="B9" t="str">
        <f>'NordDRG-LLM-Benchmark 20250820'!A29</f>
        <v>Logic-7</v>
      </c>
      <c r="C9" t="str">
        <f>'NordDRG-LLM-Benchmark 20250820'!E29</f>
        <v>C1810,K3520</v>
      </c>
    </row>
    <row r="10" spans="2:3" x14ac:dyDescent="0.2">
      <c r="B10" t="str">
        <f>'NordDRG-LLM-Benchmark 20250820'!A30</f>
        <v>Logic-8</v>
      </c>
      <c r="C10" t="str">
        <f>'NordDRG-LLM-Benchmark 20250820'!E30</f>
        <v>O6010, O6020, O6030, O6230, O6300, O6310, O6320, O6390, O6800, O6810, O6820, O6830, O6880, O6890, O7100, O7110, O7550, O7570, O8000, O8010, O8080, O8090, O8100, O8110, O8120, O8130, O8140, O8150, O8300, O8310, O8320, O8330, O8340, O8380, O8390, O8400, O8410, O8420, O8480, O8490, Z3700, Z3710, Z3720, Z3730, Z3740, Z3750, Z3760, Z3770, Z3790</v>
      </c>
    </row>
    <row r="11" spans="2:3" x14ac:dyDescent="0.2">
      <c r="B11" t="str">
        <f>'NordDRG-LLM-Benchmark 20250820'!A31</f>
        <v>Logic-9</v>
      </c>
      <c r="C11" t="str">
        <f>'NordDRG-LLM-Benchmark 20250820'!E31</f>
        <v>14X03, 14X11, 14X13, 00X10</v>
      </c>
    </row>
    <row r="12" spans="2:3" x14ac:dyDescent="0.2">
      <c r="B12" t="str">
        <f>'NordDRG-LLM-Benchmark 20250820'!A32</f>
        <v>Logic-10</v>
      </c>
      <c r="C12" t="str">
        <f>'NordDRG-LLM-Benchmark 20250820'!E32</f>
        <v>370B, 370C, 370M, 370X, 371O, 371X, 372B, 372C, 372M, 372X, 373O, 373X, 374X, 375X</v>
      </c>
    </row>
    <row r="13" spans="2:3" x14ac:dyDescent="0.2">
      <c r="B13" t="str">
        <f>'NordDRG-LLM-Benchmark 20250820'!A33</f>
        <v>Logic-11</v>
      </c>
      <c r="C13" t="str">
        <f>'NordDRG-LLM-Benchmark 20250820'!E33</f>
        <v>385A, 385B, 385C, 386N, 387N, 388A, 388B, 388C, 389A, 389B, 389C, 390X, 391O, 391X, 815O, 858T, 858V, 858W, 915O, 970Q, Q69L, Q93R, Q97R, Q99R, Q99U, Q99W</v>
      </c>
    </row>
    <row r="14" spans="2:3" x14ac:dyDescent="0.2">
      <c r="B14" t="str">
        <f>'NordDRG-LLM-Benchmark 20250820'!A34</f>
        <v>Logic-12</v>
      </c>
      <c r="C14" t="str">
        <f>'NordDRG-LLM-Benchmark 20250820'!E34</f>
        <v>No</v>
      </c>
    </row>
    <row r="15" spans="2:3" x14ac:dyDescent="0.2">
      <c r="B15" t="str">
        <f>'NordDRG-LLM-Benchmark 20250820'!A35</f>
        <v>Logic-13</v>
      </c>
      <c r="C15" t="str">
        <f>'NordDRG-LLM-Benchmark 20250820'!E35</f>
        <v>Yes</v>
      </c>
    </row>
    <row r="17" spans="2:3" x14ac:dyDescent="0.2">
      <c r="B17" t="str">
        <f>'NordDRG-LLM-Benchmark 20250820'!A40</f>
        <v>ID</v>
      </c>
      <c r="C17" t="str">
        <f>'NordDRG-LLM-Benchmark 20250820'!E40</f>
        <v>Right answer</v>
      </c>
    </row>
    <row r="18" spans="2:3" x14ac:dyDescent="0.2">
      <c r="B18" t="str">
        <f>'NordDRG-LLM-Benchmark 20250820'!A41</f>
        <v>Grouper-1</v>
      </c>
      <c r="C18" t="str">
        <f>'NordDRG-LLM-Benchmark 20250820'!E41</f>
        <v>drg_nat=470E, drg_logic_id=000D004100</v>
      </c>
    </row>
    <row r="19" spans="2:3" x14ac:dyDescent="0.2">
      <c r="B19" t="str">
        <f>'NordDRG-LLM-Benchmark 20250820'!A42</f>
        <v>Grouper-2</v>
      </c>
      <c r="C19" t="str">
        <f>'NordDRG-LLM-Benchmark 20250820'!E42</f>
        <v>drg_nat=373, drg_logic_id=400D783000</v>
      </c>
    </row>
    <row r="20" spans="2:3" x14ac:dyDescent="0.2">
      <c r="B20" t="str">
        <f>'NordDRG-LLM-Benchmark 20250820'!A43</f>
        <v>Grouper-3</v>
      </c>
      <c r="C20" t="str">
        <f>'NordDRG-LLM-Benchmark 20250820'!E43</f>
        <v>drg_nat=704O, drg_logic_id=106D120110</v>
      </c>
    </row>
    <row r="21" spans="2:3" x14ac:dyDescent="0.2">
      <c r="B21" t="str">
        <f>'NordDRG-LLM-Benchmark 20250820'!A44</f>
        <v>Grouper-4</v>
      </c>
      <c r="C21" t="str">
        <f>'NordDRG-LLM-Benchmark 20250820'!E44</f>
        <v>drg_nat=468, drg_logic_id=499D000100</v>
      </c>
    </row>
    <row r="22" spans="2:3" x14ac:dyDescent="0.2">
      <c r="B22" t="str">
        <f>'NordDRG-LLM-Benchmark 20250820'!A45</f>
        <v>Grouper-5</v>
      </c>
      <c r="C22" t="str">
        <f>'NordDRG-LLM-Benchmark 20250820'!E45</f>
        <v>drg_nat=911O, drg_logic_id=111D169960</v>
      </c>
    </row>
    <row r="23" spans="2:3" x14ac:dyDescent="0.2">
      <c r="B23" t="str">
        <f>'NordDRG-LLM-Benchmark 20250820'!A46</f>
        <v>Grouper-6</v>
      </c>
      <c r="C23" t="str">
        <f>'NordDRG-LLM-Benchmark 20250820'!E46</f>
        <v>drg_nat=384B, drg_logic_id=414D3710002</v>
      </c>
    </row>
    <row r="24" spans="2:3" x14ac:dyDescent="0.2">
      <c r="B24" t="str">
        <f>'NordDRG-LLM-Benchmark 20250820'!A47</f>
        <v>Grouper-7</v>
      </c>
      <c r="C24" t="str">
        <f>'NordDRG-LLM-Benchmark 20250820'!E47</f>
        <v>drg_nat=388A, drg_logic_id=015D816140</v>
      </c>
    </row>
    <row r="25" spans="2:3" x14ac:dyDescent="0.2">
      <c r="B25" t="str">
        <f>'NordDRG-LLM-Benchmark 20250820'!A48</f>
        <v>Grouper-8</v>
      </c>
      <c r="C25" t="str">
        <f>'NordDRG-LLM-Benchmark 20250820'!E48</f>
        <v>drg_nat=004, drg_logic_id=401D041000</v>
      </c>
    </row>
    <row r="26" spans="2:3" x14ac:dyDescent="0.2">
      <c r="B26" t="str">
        <f>'NordDRG-LLM-Benchmark 20250820'!A49</f>
        <v>Grouper-9</v>
      </c>
      <c r="C26" t="str">
        <f>'NordDRG-LLM-Benchmark 20250820'!E49</f>
        <v>drg_nat=477, drg_logic_id=414D022100</v>
      </c>
    </row>
    <row r="27" spans="2:3" x14ac:dyDescent="0.2">
      <c r="B27" t="str">
        <f>'NordDRG-LLM-Benchmark 20250820'!A50</f>
        <v>Grouper-10</v>
      </c>
      <c r="C27" t="str">
        <f>'NordDRG-LLM-Benchmark 20250820'!E50</f>
        <v>drg_nat=901O, drg_logic_id=101D089890</v>
      </c>
    </row>
    <row r="28" spans="2:3" x14ac:dyDescent="0.2">
      <c r="B28" t="str">
        <f>'NordDRG-LLM-Benchmark 20250820'!A51</f>
        <v>Grouper-11</v>
      </c>
      <c r="C28" t="str">
        <f>'NordDRG-LLM-Benchmark 20250820'!E51</f>
        <v>drg_nat=125O, drg_logic_id=105D230000</v>
      </c>
    </row>
    <row r="29" spans="2:3" x14ac:dyDescent="0.2">
      <c r="B29" t="str">
        <f>'NordDRG-LLM-Benchmark 20250820'!A52</f>
        <v>Grouper-12</v>
      </c>
      <c r="C29" t="str">
        <f>'NordDRG-LLM-Benchmark 20250820'!E52</f>
        <v>drg_nat=560A, drg_logic_id=400D313200</v>
      </c>
    </row>
    <row r="30" spans="2:3" x14ac:dyDescent="0.2">
      <c r="B30" t="str">
        <f>'NordDRG-LLM-Benchmark 20250820'!A53</f>
        <v>Grouper-13</v>
      </c>
      <c r="C30" t="str">
        <f>'NordDRG-LLM-Benchmark 20250820'!E53</f>
        <v>drg_nat=291M, drg_logic_id=410D110101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NordDRG-LLM-Benchmark 20250820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Tapio Pitkäranta</dc:creator>
  <cp:lastModifiedBy>Tapio Pitkäranta</cp:lastModifiedBy>
  <dcterms:created xsi:type="dcterms:W3CDTF">2024-05-30T03:36:03Z</dcterms:created>
  <dcterms:modified xsi:type="dcterms:W3CDTF">2025-08-20T12:31:58Z</dcterms:modified>
</cp:coreProperties>
</file>